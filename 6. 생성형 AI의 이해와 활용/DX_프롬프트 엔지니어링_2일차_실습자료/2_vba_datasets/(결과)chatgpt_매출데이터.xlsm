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AIVLE\DX_프롬프트 엔지니어링_2일차_실습자료\2_vba_datasets\"/>
    </mc:Choice>
  </mc:AlternateContent>
  <xr:revisionPtr revIDLastSave="0" documentId="13_ncr:1_{5C7C0F20-52E3-447C-AF6E-89986B9C55B9}" xr6:coauthVersionLast="47" xr6:coauthVersionMax="47" xr10:uidLastSave="{00000000-0000-0000-0000-000000000000}"/>
  <bookViews>
    <workbookView xWindow="516" yWindow="972" windowWidth="29100" windowHeight="14928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8" i="1" l="1"/>
  <c r="H27" i="1"/>
  <c r="H26" i="1"/>
  <c r="H23" i="1"/>
  <c r="H17" i="1"/>
  <c r="H22" i="1"/>
  <c r="H16" i="1"/>
  <c r="H11" i="1"/>
  <c r="H10" i="1"/>
  <c r="H9" i="1"/>
  <c r="H8" i="1"/>
  <c r="H21" i="1"/>
  <c r="H15" i="1"/>
  <c r="H7" i="1"/>
  <c r="H20" i="1"/>
  <c r="H14" i="1"/>
  <c r="H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6" i="1"/>
</calcChain>
</file>

<file path=xl/sharedStrings.xml><?xml version="1.0" encoding="utf-8"?>
<sst xmlns="http://schemas.openxmlformats.org/spreadsheetml/2006/main" count="78" uniqueCount="46">
  <si>
    <t>영업지점</t>
  </si>
  <si>
    <t>직영여부</t>
  </si>
  <si>
    <t>연매출</t>
  </si>
  <si>
    <t>연지출</t>
  </si>
  <si>
    <t>순이익</t>
  </si>
  <si>
    <t>전체지점</t>
  </si>
  <si>
    <t>A</t>
  </si>
  <si>
    <t>직영</t>
  </si>
  <si>
    <t>지점수</t>
  </si>
  <si>
    <t>B</t>
  </si>
  <si>
    <t>비직영</t>
  </si>
  <si>
    <t>매출총합</t>
  </si>
  <si>
    <t>C</t>
  </si>
  <si>
    <t>매출평균</t>
  </si>
  <si>
    <t>D</t>
  </si>
  <si>
    <t>최고매출</t>
  </si>
  <si>
    <t>E</t>
  </si>
  <si>
    <t>최저매출</t>
  </si>
  <si>
    <t>F</t>
  </si>
  <si>
    <t>순이익총합</t>
  </si>
  <si>
    <t>G</t>
  </si>
  <si>
    <t>H</t>
  </si>
  <si>
    <t>직영점</t>
  </si>
  <si>
    <t>I</t>
  </si>
  <si>
    <t>J</t>
  </si>
  <si>
    <t>K</t>
  </si>
  <si>
    <t>L</t>
  </si>
  <si>
    <t>M</t>
  </si>
  <si>
    <t>N</t>
  </si>
  <si>
    <t>비직영점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</si>
  <si>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</si>
  <si>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</si>
  <si>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</si>
  <si>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</si>
  <si>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</si>
  <si>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</si>
  <si>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</si>
  <si>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</si>
  <si>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</si>
  <si>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</si>
  <si>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</si>
  <si>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</si>
  <si>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r>
      <rPr>
        <sz val="16"/>
        <color rgb="FF000000"/>
        <rFont val="Malgun Gothic"/>
        <family val="2"/>
        <charset val="129"/>
      </rPr>
      <t>영업점별</t>
    </r>
    <r>
      <rPr>
        <sz val="16"/>
        <color rgb="FF000000"/>
        <rFont val="Calibri"/>
        <family val="2"/>
      </rPr>
      <t xml:space="preserve"> </t>
    </r>
    <r>
      <rPr>
        <sz val="16"/>
        <color rgb="FF000000"/>
        <rFont val="Malgun Gothic"/>
        <family val="2"/>
        <charset val="129"/>
      </rPr>
      <t>매출</t>
    </r>
    <r>
      <rPr>
        <sz val="16"/>
        <color rgb="FF000000"/>
        <rFont val="Calibri"/>
        <family val="2"/>
      </rPr>
      <t xml:space="preserve"> </t>
    </r>
    <r>
      <rPr>
        <sz val="16"/>
        <color rgb="FF000000"/>
        <rFont val="Malgun Gothic"/>
        <family val="2"/>
        <charset val="129"/>
      </rPr>
      <t>현황</t>
    </r>
    <phoneticPr fontId="3" type="noConversion"/>
  </si>
  <si>
    <t>전체지점</t>
    <phoneticPr fontId="3" type="noConversion"/>
  </si>
  <si>
    <t>직영점</t>
    <phoneticPr fontId="3" type="noConversion"/>
  </si>
  <si>
    <t>비직영점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</si>
</sst>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&quot;원&quot;"/>
  </numFmts>
  <fonts count="11">
    <font>
      <sz val="11"/>
      <color indexed="8"/>
      <name val="Calibri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나눔고딕OTF"/>
      <family val="3"/>
      <charset val="129"/>
    </font>
    <font>
      <sz val="16"/>
      <color rgb="FF000000"/>
      <name val="Calibri"/>
      <family val="2"/>
      <charset val="129"/>
    </font>
    <font>
      <sz val="16"/>
      <color rgb="FF000000"/>
      <name val="Malgun Gothic"/>
      <family val="2"/>
      <charset val="129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맑은 고딕"/>
      <family val="3"/>
      <charset val="129"/>
    </font>
    <font>
      <b/>
      <sz val="16"/>
      <color indexed="8"/>
      <name val="Calibri"/>
      <family val="2"/>
    </font>
    <font>
      <sz val="16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10"/>
      </bottom>
      <diagonal/>
    </border>
    <border>
      <left style="thin">
        <color indexed="10"/>
      </left>
      <right style="thin">
        <color indexed="8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 applyNumberFormat="0" applyFill="0" applyBorder="0" applyProtection="0"/>
  </cellStyleXfs>
  <cellXfs count="26">
    <xf numFmtId="0" fontId="0" fillId="0" borderId="0" xfId="0"/>
    <xf numFmtId="0" fontId="0" fillId="0" borderId="0" xfId="0" applyNumberFormat="1"/>
    <xf numFmtId="49" fontId="1" fillId="2" borderId="1" xfId="0" applyNumberFormat="1" applyFont="1" applyFill="1" applyBorder="1" applyAlignment="1">
      <alignment horizontal="center" vertical="top"/>
    </xf>
    <xf numFmtId="0" fontId="0" fillId="0" borderId="2" xfId="0" applyBorder="1"/>
    <xf numFmtId="49" fontId="0" fillId="0" borderId="3" xfId="0" applyNumberFormat="1" applyBorder="1"/>
    <xf numFmtId="0" fontId="0" fillId="0" borderId="3" xfId="0" applyBorder="1"/>
    <xf numFmtId="0" fontId="0" fillId="0" borderId="4" xfId="0" applyBorder="1"/>
    <xf numFmtId="49" fontId="0" fillId="0" borderId="1" xfId="0" applyNumberFormat="1" applyBorder="1" applyAlignment="1">
      <alignment horizontal="center"/>
    </xf>
    <xf numFmtId="49" fontId="0" fillId="0" borderId="5" xfId="0" applyNumberFormat="1" applyBorder="1"/>
    <xf numFmtId="0" fontId="0" fillId="0" borderId="5" xfId="0" applyBorder="1"/>
    <xf numFmtId="0" fontId="0" fillId="0" borderId="6" xfId="0" applyBorder="1"/>
    <xf numFmtId="0" fontId="0" fillId="0" borderId="6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5" xfId="0" applyFont="1" applyBorder="1"/>
    <xf numFmtId="0" fontId="7" fillId="0" borderId="5" xfId="0" applyFont="1" applyBorder="1"/>
    <xf numFmtId="0" fontId="8" fillId="0" borderId="0" xfId="0" applyNumberFormat="1" applyFont="1"/>
    <xf numFmtId="0" fontId="0" fillId="0" borderId="0" xfId="0" applyNumberFormat="1" applyFill="1"/>
    <xf numFmtId="49" fontId="9" fillId="3" borderId="1" xfId="0" applyNumberFormat="1" applyFont="1" applyFill="1" applyBorder="1" applyAlignment="1">
      <alignment horizontal="center" vertical="top"/>
    </xf>
    <xf numFmtId="0" fontId="10" fillId="3" borderId="1" xfId="0" applyFont="1" applyFill="1" applyBorder="1"/>
    <xf numFmtId="0" fontId="4" fillId="0" borderId="0" xfId="0" applyNumberFormat="1" applyFont="1" applyAlignment="1">
      <alignment horizontal="center"/>
    </xf>
    <xf numFmtId="176" fontId="0" fillId="0" borderId="1" xfId="0" applyNumberFormat="1" applyBorder="1" applyAlignment="1">
      <alignment horizontal="right"/>
    </xf>
    <xf numFmtId="176" fontId="2" fillId="0" borderId="1" xfId="0" applyNumberFormat="1" applyFont="1" applyBorder="1" applyAlignment="1">
      <alignment horizontal="right"/>
    </xf>
    <xf numFmtId="176" fontId="0" fillId="0" borderId="3" xfId="0" applyNumberFormat="1" applyBorder="1" applyAlignment="1"/>
    <xf numFmtId="176" fontId="2" fillId="0" borderId="3" xfId="0" applyNumberFormat="1" applyFont="1" applyBorder="1" applyAlignment="1">
      <alignment vertical="center"/>
    </xf>
    <xf numFmtId="176" fontId="0" fillId="0" borderId="5" xfId="0" applyNumberFormat="1" applyBorder="1" applyAlignment="1"/>
  </cellXfs>
  <cellStyles count="1">
    <cellStyle name="표준" xfId="0" builtinId="0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FFFFFF"/>
      <rgbColor rgb="FF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영업점별 순이익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Sheet1!$G$26:$G$28</c:f>
              <c:strCache>
                <c:ptCount val="3"/>
                <c:pt idx="0">
                  <c:v>전체지점</c:v>
                </c:pt>
                <c:pt idx="1">
                  <c:v>직영점</c:v>
                </c:pt>
                <c:pt idx="2">
                  <c:v>비직영점</c:v>
                </c:pt>
              </c:strCache>
            </c:strRef>
          </c:cat>
          <c:val>
            <c:numRef>
              <c:f>Sheet1!$H$26:$H$28</c:f>
              <c:numCache>
                <c:formatCode>#,##0"원"</c:formatCode>
                <c:ptCount val="3"/>
                <c:pt idx="0">
                  <c:v>361749527</c:v>
                </c:pt>
                <c:pt idx="1">
                  <c:v>373756362</c:v>
                </c:pt>
                <c:pt idx="2">
                  <c:v>159515879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D0-1D4C-A2DA-6D11DAC23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2368367"/>
        <c:axId val="1182370079"/>
      </c:barChart>
      <c:catAx>
        <c:axId val="1182368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2370079"/>
        <c:crosses val="autoZero"/>
        <c:auto val="1"/>
        <c:lblAlgn val="ctr"/>
        <c:lblOffset val="100"/>
        <c:noMultiLvlLbl val="0"/>
      </c:catAx>
      <c:valAx>
        <c:axId val="118237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&quot;원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2368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349885</xdr:colOff>
      <xdr:row>32</xdr:row>
      <xdr:rowOff>175260</xdr:rowOff>
    </xdr:from>
    <xdr:to>
      <xdr:col>11</xdr:col>
      <xdr:colOff>210185</xdr:colOff>
      <xdr:row>47</xdr:row>
      <xdr:rowOff>66040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96C7E973-26F2-9078-80D5-EAFE999793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3</xdr:row>
      <xdr:rowOff>102388</xdr:rowOff>
    </xdr:from>
    <xdr:to>
      <xdr:col>9</xdr:col>
      <xdr:colOff>1264920</xdr:colOff>
      <xdr:row>5</xdr:row>
      <xdr:rowOff>80492</xdr:rowOff>
    </xdr:to>
    <xdr:sp macro="[0]!ChatGPT_VBA_지점초록" textlink="">
      <xdr:nvSpPr>
        <xdr:cNvPr id="2" name="직사각형 1">
          <a:extLst>
            <a:ext uri="{FF2B5EF4-FFF2-40B4-BE49-F238E27FC236}">
              <a16:creationId xmlns:a16="http://schemas.microsoft.com/office/drawing/2014/main" id="{E550D29A-F89F-499F-A96F-ECEB9D2A8A5D}"/>
            </a:ext>
          </a:extLst>
        </xdr:cNvPr>
        <xdr:cNvSpPr/>
      </xdr:nvSpPr>
      <xdr:spPr>
        <a:xfrm>
          <a:off x="5440680" y="673888"/>
          <a:ext cx="1242060" cy="336244"/>
        </a:xfrm>
        <a:prstGeom prst="rect">
          <a:avLst/>
        </a:prstGeom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>
          <a:outerShdw blurRad="38100" dist="23000" dir="5400000" rotWithShape="0">
            <a:srgbClr val="000000">
              <a:alpha val="35000"/>
            </a:srgbClr>
          </a:outerShdw>
        </a:effectLst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overflow" horzOverflow="overflow" vert="horz" wrap="square" lIns="45719" tIns="45719" rIns="45719" bIns="45719" numCol="1" spcCol="38100" rtlCol="0" anchor="ctr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</a:pPr>
          <a:r>
            <a:rPr kumimoji="0" lang="ko-KR" altLang="en-US" sz="11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alibri"/>
              <a:ea typeface="Calibri"/>
              <a:cs typeface="Calibri"/>
              <a:sym typeface="Calibri"/>
            </a:rPr>
            <a:t> 색변경</a:t>
          </a:r>
          <a:endParaRPr kumimoji="0" lang="en-US" altLang="ko-KR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endParaRPr>
        </a:p>
      </xdr:txBody>
    </xdr:sp>
    <xdr:clientData/>
  </xdr:twoCellAnchor>
  <xdr:twoCellAnchor>
    <xdr:from>
      <xdr:col>9</xdr:col>
      <xdr:colOff>30480</xdr:colOff>
      <xdr:row>6</xdr:row>
      <xdr:rowOff>10948</xdr:rowOff>
    </xdr:from>
    <xdr:to>
      <xdr:col>9</xdr:col>
      <xdr:colOff>1272540</xdr:colOff>
      <xdr:row>8</xdr:row>
      <xdr:rowOff>11912</xdr:rowOff>
    </xdr:to>
    <xdr:sp macro="[0]!ChatGPT_VBA_지점초록_되돌리기" textlink="">
      <xdr:nvSpPr>
        <xdr:cNvPr id="5" name="직사각형 4">
          <a:extLst>
            <a:ext uri="{FF2B5EF4-FFF2-40B4-BE49-F238E27FC236}">
              <a16:creationId xmlns:a16="http://schemas.microsoft.com/office/drawing/2014/main" id="{9594F848-C733-4C63-9941-081785B19BCA}"/>
            </a:ext>
          </a:extLst>
        </xdr:cNvPr>
        <xdr:cNvSpPr/>
      </xdr:nvSpPr>
      <xdr:spPr>
        <a:xfrm>
          <a:off x="5448300" y="1108228"/>
          <a:ext cx="1242060" cy="336244"/>
        </a:xfrm>
        <a:prstGeom prst="rect">
          <a:avLst/>
        </a:prstGeom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>
          <a:outerShdw blurRad="38100" dist="23000" dir="5400000" rotWithShape="0">
            <a:srgbClr val="000000">
              <a:alpha val="35000"/>
            </a:srgbClr>
          </a:outerShdw>
        </a:effectLst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overflow" horzOverflow="overflow" vert="horz" wrap="square" lIns="45719" tIns="45719" rIns="45719" bIns="45719" numCol="1" spcCol="38100" rtlCol="0" anchor="ctr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</a:pPr>
          <a:r>
            <a:rPr kumimoji="0" lang="ko-KR" altLang="en-US" sz="11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alibri"/>
              <a:ea typeface="Calibri"/>
              <a:cs typeface="Calibri"/>
              <a:sym typeface="Calibri"/>
            </a:rPr>
            <a:t>원래대로</a:t>
          </a:r>
        </a:p>
      </xdr:txBody>
    </xdr:sp>
    <xdr:clientData/>
  </xdr:twoCellAnchor>
  <xdr:twoCellAnchor>
    <xdr:from>
      <xdr:col>8</xdr:col>
      <xdr:colOff>582930</xdr:colOff>
      <xdr:row>8</xdr:row>
      <xdr:rowOff>138583</xdr:rowOff>
    </xdr:from>
    <xdr:to>
      <xdr:col>9</xdr:col>
      <xdr:colOff>1184910</xdr:colOff>
      <xdr:row>10</xdr:row>
      <xdr:rowOff>139547</xdr:rowOff>
    </xdr:to>
    <xdr:sp macro="[0]!ChatGPT_VBA_선택범위_원화표시" textlink="">
      <xdr:nvSpPr>
        <xdr:cNvPr id="3" name="직사각형 2">
          <a:extLst>
            <a:ext uri="{FF2B5EF4-FFF2-40B4-BE49-F238E27FC236}">
              <a16:creationId xmlns:a16="http://schemas.microsoft.com/office/drawing/2014/main" id="{3E70B6F6-BB86-48B8-BB15-7C7E08DF3123}"/>
            </a:ext>
          </a:extLst>
        </xdr:cNvPr>
        <xdr:cNvSpPr/>
      </xdr:nvSpPr>
      <xdr:spPr>
        <a:xfrm>
          <a:off x="7128510" y="1571143"/>
          <a:ext cx="1203960" cy="336244"/>
        </a:xfrm>
        <a:prstGeom prst="rect">
          <a:avLst/>
        </a:prstGeom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>
          <a:outerShdw blurRad="38100" dist="23000" dir="5400000" rotWithShape="0">
            <a:srgbClr val="000000">
              <a:alpha val="35000"/>
            </a:srgbClr>
          </a:outerShdw>
        </a:effectLst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overflow" horzOverflow="overflow" vert="horz" wrap="square" lIns="45719" tIns="45719" rIns="45719" bIns="45719" numCol="1" spcCol="38100" rtlCol="0" anchor="ctr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</a:pPr>
          <a:r>
            <a:rPr kumimoji="0" lang="ko-KR" altLang="en-US" sz="11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alibri"/>
              <a:ea typeface="Calibri"/>
              <a:cs typeface="Calibri"/>
              <a:sym typeface="Calibri"/>
            </a:rPr>
            <a:t>원표시 변경</a:t>
          </a:r>
          <a:endParaRPr kumimoji="0" lang="en-US" altLang="ko-KR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endParaRPr>
        </a:p>
      </xdr:txBody>
    </xdr:sp>
    <xdr:clientData/>
  </xdr:twoCellAnchor>
  <xdr:twoCellAnchor>
    <xdr:from>
      <xdr:col>8</xdr:col>
      <xdr:colOff>560070</xdr:colOff>
      <xdr:row>11</xdr:row>
      <xdr:rowOff>113818</xdr:rowOff>
    </xdr:from>
    <xdr:to>
      <xdr:col>9</xdr:col>
      <xdr:colOff>1287780</xdr:colOff>
      <xdr:row>13</xdr:row>
      <xdr:rowOff>114782</xdr:rowOff>
    </xdr:to>
    <xdr:sp macro="[0]!ChatGPT_VBA_지점_노랑_글자크기" textlink="">
      <xdr:nvSpPr>
        <xdr:cNvPr id="6" name="직사각형 5">
          <a:extLst>
            <a:ext uri="{FF2B5EF4-FFF2-40B4-BE49-F238E27FC236}">
              <a16:creationId xmlns:a16="http://schemas.microsoft.com/office/drawing/2014/main" id="{110A658F-1B42-4BB6-9A1B-BFF3DCFD3334}"/>
            </a:ext>
          </a:extLst>
        </xdr:cNvPr>
        <xdr:cNvSpPr/>
      </xdr:nvSpPr>
      <xdr:spPr>
        <a:xfrm>
          <a:off x="7105650" y="2049298"/>
          <a:ext cx="1329690" cy="336244"/>
        </a:xfrm>
        <a:prstGeom prst="rect">
          <a:avLst/>
        </a:prstGeom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>
          <a:outerShdw blurRad="38100" dist="23000" dir="5400000" rotWithShape="0">
            <a:srgbClr val="000000">
              <a:alpha val="35000"/>
            </a:srgbClr>
          </a:outerShdw>
        </a:effectLst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overflow" horzOverflow="overflow" vert="horz" wrap="square" lIns="45719" tIns="45719" rIns="45719" bIns="45719" numCol="1" spcCol="38100" rtlCol="0" anchor="ctr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</a:pPr>
          <a:r>
            <a:rPr kumimoji="0" lang="ko-KR" altLang="en-US" sz="11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alibri"/>
              <a:ea typeface="Calibri"/>
              <a:cs typeface="Calibri"/>
              <a:sym typeface="Calibri"/>
            </a:rPr>
            <a:t>노랑 글씨변경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381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38100" dist="20000" dir="5400000" rotWithShape="0">
              <a:srgbClr val="000000">
                <a:alpha val="38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25400" cap="flat">
          <a:solidFill>
            <a:schemeClr val="accent1"/>
          </a:solidFill>
          <a:prstDash val="solid"/>
          <a:round/>
        </a:ln>
        <a:effectLst>
          <a:outerShdw blurRad="38100" dist="23000" dir="5400000" rotWithShape="0">
            <a:srgbClr val="000000">
              <a:alpha val="35000"/>
            </a:srgbClr>
          </a:outerShdw>
        </a:effectLst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chemeClr val="accent1"/>
          </a:solidFill>
          <a:prstDash val="solid"/>
          <a:round/>
        </a:ln>
        <a:effectLst>
          <a:outerShdw blurRad="38100" dist="20000" dir="5400000" rotWithShape="0">
            <a:srgbClr val="000000">
              <a:alpha val="38000"/>
            </a:srgbClr>
          </a:outerShdw>
        </a:effectLst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showGridLines="0" tabSelected="1" topLeftCell="A4" zoomScale="200" workbookViewId="0">
      <selection activeCell="C6" sqref="C6:E31"/>
    </sheetView>
  </sheetViews>
  <sheetFormatPr defaultColWidth="8.77734375" defaultRowHeight="15" customHeight="1"/>
  <cols>
    <col min="1" max="2" width="8.77734375" style="1" customWidth="1"/>
    <col min="3" max="3" width="13.6640625" style="1" customWidth="1"/>
    <col min="4" max="4" width="14.33203125" style="1" customWidth="1"/>
    <col min="5" max="5" width="14.44140625" style="1" customWidth="1"/>
    <col min="6" max="7" width="8.77734375" style="1" customWidth="1"/>
    <col min="8" max="8" width="17.88671875" style="1" customWidth="1"/>
    <col min="9" max="9" width="8.77734375" style="1" customWidth="1"/>
    <col min="10" max="10" width="18.88671875" style="1" customWidth="1"/>
    <col min="11" max="16384" width="8.77734375" style="1"/>
  </cols>
  <sheetData>
    <row r="1" spans="1:10" ht="15" customHeight="1">
      <c r="D1" s="20" t="s">
        <v>42</v>
      </c>
      <c r="E1" s="20"/>
      <c r="F1" s="20"/>
    </row>
    <row r="2" spans="1:10" ht="15" customHeight="1">
      <c r="D2" s="20"/>
      <c r="E2" s="20"/>
      <c r="F2" s="20"/>
    </row>
    <row r="3" spans="1:10" ht="15" customHeight="1">
      <c r="I3" s="17"/>
    </row>
    <row r="4" spans="1:10" ht="15" customHeight="1">
      <c r="J4" s="16"/>
    </row>
    <row r="5" spans="1:10" ht="13.2" customHeight="1">
      <c r="A5" s="2" t="s">
        <v>0</v>
      </c>
      <c r="B5" s="2" t="s">
        <v>1</v>
      </c>
      <c r="C5" s="2" t="s">
        <v>2</v>
      </c>
      <c r="D5" s="2" t="s">
        <v>3</v>
      </c>
      <c r="E5" s="2" t="s">
        <v>4</v>
      </c>
      <c r="F5" s="3"/>
      <c r="G5" s="18" t="s">
        <v>5</v>
      </c>
      <c r="H5" s="19"/>
    </row>
    <row r="6" spans="1:10" ht="13.5" customHeight="1">
      <c r="A6" s="4" t="s">
        <v>6</v>
      </c>
      <c r="B6" s="4" t="s">
        <v>7</v>
      </c>
      <c r="C6" s="23">
        <v>84093157</v>
      </c>
      <c r="D6" s="23">
        <v>25986114</v>
      </c>
      <c r="E6" s="24">
        <f>C6-D6</f>
        <v>58107043</v>
      </c>
      <c r="F6" s="6"/>
      <c r="G6" s="7" t="s">
        <v>8</v>
      </c>
      <c r="H6" s="13">
        <f>COUNTA(B6:B31)</f>
        <v>26</v>
      </c>
    </row>
    <row r="7" spans="1:10" ht="13.5" customHeight="1">
      <c r="A7" s="8" t="s">
        <v>9</v>
      </c>
      <c r="B7" s="8" t="s">
        <v>10</v>
      </c>
      <c r="C7" s="25">
        <v>37662093</v>
      </c>
      <c r="D7" s="25">
        <v>44386720</v>
      </c>
      <c r="E7" s="24">
        <f t="shared" ref="E7:E31" si="0">C7-D7</f>
        <v>-6724627</v>
      </c>
      <c r="F7" s="6"/>
      <c r="G7" s="7" t="s">
        <v>11</v>
      </c>
      <c r="H7" s="22">
        <f>SUM(C6:C31)</f>
        <v>1631701507</v>
      </c>
    </row>
    <row r="8" spans="1:10" ht="13.5" customHeight="1">
      <c r="A8" s="8" t="s">
        <v>12</v>
      </c>
      <c r="B8" s="8" t="s">
        <v>10</v>
      </c>
      <c r="C8" s="25">
        <v>87837363</v>
      </c>
      <c r="D8" s="25">
        <v>14092704</v>
      </c>
      <c r="E8" s="24">
        <f t="shared" si="0"/>
        <v>73744659</v>
      </c>
      <c r="F8" s="6"/>
      <c r="G8" s="7" t="s">
        <v>13</v>
      </c>
      <c r="H8" s="22">
        <f>AVERAGE(C6:C31)</f>
        <v>62757750.269230768</v>
      </c>
    </row>
    <row r="9" spans="1:10" ht="13.5" customHeight="1">
      <c r="A9" s="8" t="s">
        <v>14</v>
      </c>
      <c r="B9" s="8" t="s">
        <v>7</v>
      </c>
      <c r="C9" s="25">
        <v>87414067</v>
      </c>
      <c r="D9" s="25">
        <v>35978581</v>
      </c>
      <c r="E9" s="24">
        <f t="shared" si="0"/>
        <v>51435486</v>
      </c>
      <c r="F9" s="6"/>
      <c r="G9" s="7" t="s">
        <v>15</v>
      </c>
      <c r="H9" s="22">
        <f>MAX(C6:C31)</f>
        <v>98193107</v>
      </c>
    </row>
    <row r="10" spans="1:10" ht="13.5" customHeight="1">
      <c r="A10" s="8" t="s">
        <v>16</v>
      </c>
      <c r="B10" s="8" t="s">
        <v>10</v>
      </c>
      <c r="C10" s="25">
        <v>85418245</v>
      </c>
      <c r="D10" s="25">
        <v>39368869</v>
      </c>
      <c r="E10" s="24">
        <f t="shared" si="0"/>
        <v>46049376</v>
      </c>
      <c r="F10" s="6"/>
      <c r="G10" s="7" t="s">
        <v>17</v>
      </c>
      <c r="H10" s="22">
        <f>MIN(C6:C31)</f>
        <v>9085927</v>
      </c>
    </row>
    <row r="11" spans="1:10" ht="13.5" customHeight="1">
      <c r="A11" s="8" t="s">
        <v>18</v>
      </c>
      <c r="B11" s="8" t="s">
        <v>10</v>
      </c>
      <c r="C11" s="25">
        <v>66931087</v>
      </c>
      <c r="D11" s="25">
        <v>12185414</v>
      </c>
      <c r="E11" s="24">
        <f t="shared" si="0"/>
        <v>54745673</v>
      </c>
      <c r="F11" s="6"/>
      <c r="G11" s="7" t="s">
        <v>19</v>
      </c>
      <c r="H11" s="21">
        <f>SUM(E6:E31)</f>
        <v>958988849</v>
      </c>
    </row>
    <row r="12" spans="1:10" ht="13.5" customHeight="1">
      <c r="A12" s="8" t="s">
        <v>20</v>
      </c>
      <c r="B12" s="8" t="s">
        <v>10</v>
      </c>
      <c r="C12" s="25">
        <v>43384210</v>
      </c>
      <c r="D12" s="25">
        <v>15838984</v>
      </c>
      <c r="E12" s="24">
        <f t="shared" si="0"/>
        <v>27545226</v>
      </c>
      <c r="F12" s="9"/>
      <c r="G12" s="10"/>
      <c r="H12" s="10"/>
    </row>
    <row r="13" spans="1:10" ht="13.2" customHeight="1">
      <c r="A13" s="8" t="s">
        <v>21</v>
      </c>
      <c r="B13" s="8" t="s">
        <v>10</v>
      </c>
      <c r="C13" s="25">
        <v>21865123</v>
      </c>
      <c r="D13" s="25">
        <v>32965652</v>
      </c>
      <c r="E13" s="24">
        <f t="shared" si="0"/>
        <v>-11100529</v>
      </c>
      <c r="F13" s="6"/>
      <c r="G13" s="18" t="s">
        <v>22</v>
      </c>
      <c r="H13" s="19"/>
    </row>
    <row r="14" spans="1:10" ht="13.5" customHeight="1">
      <c r="A14" s="8" t="s">
        <v>23</v>
      </c>
      <c r="B14" s="8" t="s">
        <v>10</v>
      </c>
      <c r="C14" s="25">
        <v>77916696</v>
      </c>
      <c r="D14" s="25">
        <v>49844785</v>
      </c>
      <c r="E14" s="24">
        <f t="shared" si="0"/>
        <v>28071911</v>
      </c>
      <c r="F14" s="6"/>
      <c r="G14" s="7" t="s">
        <v>8</v>
      </c>
      <c r="H14" s="13">
        <f>COUNTIF(B6:B31, "직영")</f>
        <v>12</v>
      </c>
    </row>
    <row r="15" spans="1:10" ht="13.5" customHeight="1">
      <c r="A15" s="8" t="s">
        <v>24</v>
      </c>
      <c r="B15" s="8" t="s">
        <v>10</v>
      </c>
      <c r="C15" s="25">
        <v>85442289</v>
      </c>
      <c r="D15" s="25">
        <v>27335279</v>
      </c>
      <c r="E15" s="24">
        <f t="shared" si="0"/>
        <v>58107010</v>
      </c>
      <c r="F15" s="6"/>
      <c r="G15" s="7" t="s">
        <v>11</v>
      </c>
      <c r="H15" s="22">
        <f>SUMIF(B6:B31, "직영", C6:C31)</f>
        <v>736307155</v>
      </c>
      <c r="I15" s="12"/>
    </row>
    <row r="16" spans="1:10" ht="13.5" customHeight="1">
      <c r="A16" s="8" t="s">
        <v>25</v>
      </c>
      <c r="B16" s="8" t="s">
        <v>10</v>
      </c>
      <c r="C16" s="25">
        <v>88950109</v>
      </c>
      <c r="D16" s="25">
        <v>43214729</v>
      </c>
      <c r="E16" s="24">
        <f t="shared" si="0"/>
        <v>45735380</v>
      </c>
      <c r="F16" s="6"/>
      <c r="G16" s="7" t="s">
        <v>13</v>
      </c>
      <c r="H16" s="22">
        <f>AVERAGEIF(B6:B31,"직영",C6:C31)</f>
        <v>61358929.583333336</v>
      </c>
    </row>
    <row r="17" spans="1:8" ht="13.5" customHeight="1">
      <c r="A17" s="8" t="s">
        <v>26</v>
      </c>
      <c r="B17" s="8" t="s">
        <v>7</v>
      </c>
      <c r="C17" s="25">
        <v>98193107</v>
      </c>
      <c r="D17" s="25">
        <v>1070810</v>
      </c>
      <c r="E17" s="24">
        <f t="shared" si="0"/>
        <v>97122297</v>
      </c>
      <c r="F17" s="6"/>
      <c r="G17" s="7" t="s">
        <v>19</v>
      </c>
      <c r="H17" s="22">
        <f>SUMIF(B6:B31, "직영", E6:E31)</f>
        <v>483298891</v>
      </c>
    </row>
    <row r="18" spans="1:8" ht="13.5" customHeight="1">
      <c r="A18" s="8" t="s">
        <v>27</v>
      </c>
      <c r="B18" s="8" t="s">
        <v>7</v>
      </c>
      <c r="C18" s="25">
        <v>9085927</v>
      </c>
      <c r="D18" s="25">
        <v>16341823</v>
      </c>
      <c r="E18" s="24">
        <f t="shared" si="0"/>
        <v>-7255896</v>
      </c>
      <c r="F18" s="9"/>
      <c r="G18" s="11"/>
      <c r="H18" s="10"/>
    </row>
    <row r="19" spans="1:8" ht="13.5" customHeight="1">
      <c r="A19" s="8" t="s">
        <v>28</v>
      </c>
      <c r="B19" s="8" t="s">
        <v>10</v>
      </c>
      <c r="C19" s="25">
        <v>65085280</v>
      </c>
      <c r="D19" s="25">
        <v>44013153</v>
      </c>
      <c r="E19" s="24">
        <f t="shared" si="0"/>
        <v>21072127</v>
      </c>
      <c r="F19" s="6"/>
      <c r="G19" s="18" t="s">
        <v>29</v>
      </c>
      <c r="H19" s="19"/>
    </row>
    <row r="20" spans="1:8" ht="13.5" customHeight="1">
      <c r="A20" s="8" t="s">
        <v>30</v>
      </c>
      <c r="B20" s="8" t="s">
        <v>7</v>
      </c>
      <c r="C20" s="25">
        <v>84836865</v>
      </c>
      <c r="D20" s="25">
        <v>24252679</v>
      </c>
      <c r="E20" s="24">
        <f t="shared" si="0"/>
        <v>60584186</v>
      </c>
      <c r="F20" s="6"/>
      <c r="G20" s="7" t="s">
        <v>8</v>
      </c>
      <c r="H20" s="13">
        <f>COUNTIF(B6:B31, "비직영")</f>
        <v>14</v>
      </c>
    </row>
    <row r="21" spans="1:8" ht="13.5" customHeight="1">
      <c r="A21" s="8" t="s">
        <v>31</v>
      </c>
      <c r="B21" s="8" t="s">
        <v>7</v>
      </c>
      <c r="C21" s="25">
        <v>79826761</v>
      </c>
      <c r="D21" s="25">
        <v>5048665</v>
      </c>
      <c r="E21" s="24">
        <f t="shared" si="0"/>
        <v>74778096</v>
      </c>
      <c r="F21" s="6"/>
      <c r="G21" s="7" t="s">
        <v>11</v>
      </c>
      <c r="H21" s="22">
        <f>SUMIF(B6:B31,"비직영",C6:C31)</f>
        <v>895394352</v>
      </c>
    </row>
    <row r="22" spans="1:8" ht="13.5" customHeight="1">
      <c r="A22" s="8" t="s">
        <v>32</v>
      </c>
      <c r="B22" s="8" t="s">
        <v>7</v>
      </c>
      <c r="C22" s="25">
        <v>27299065</v>
      </c>
      <c r="D22" s="25">
        <v>45668931</v>
      </c>
      <c r="E22" s="24">
        <f t="shared" si="0"/>
        <v>-18369866</v>
      </c>
      <c r="F22" s="6"/>
      <c r="G22" s="7" t="s">
        <v>13</v>
      </c>
      <c r="H22" s="22">
        <f>AVERAGEIF(B6:B31,"비직영",C6:C31)</f>
        <v>63956739.428571425</v>
      </c>
    </row>
    <row r="23" spans="1:8" ht="13.5" customHeight="1">
      <c r="A23" s="8" t="s">
        <v>33</v>
      </c>
      <c r="B23" s="8" t="s">
        <v>7</v>
      </c>
      <c r="C23" s="25">
        <v>31790271</v>
      </c>
      <c r="D23" s="25">
        <v>31670990</v>
      </c>
      <c r="E23" s="24">
        <f t="shared" si="0"/>
        <v>119281</v>
      </c>
      <c r="F23" s="6"/>
      <c r="G23" s="7" t="s">
        <v>19</v>
      </c>
      <c r="H23" s="22">
        <f>SUMIF(B12:B37, "비직영", E12:E37)</f>
        <v>307874877</v>
      </c>
    </row>
    <row r="24" spans="1:8" ht="13.5" customHeight="1">
      <c r="A24" s="8" t="s">
        <v>34</v>
      </c>
      <c r="B24" s="8" t="s">
        <v>7</v>
      </c>
      <c r="C24" s="25">
        <v>38003808</v>
      </c>
      <c r="D24" s="25">
        <v>17363323</v>
      </c>
      <c r="E24" s="24">
        <f t="shared" si="0"/>
        <v>20640485</v>
      </c>
      <c r="F24" s="9"/>
      <c r="G24" s="5"/>
      <c r="H24" s="5"/>
    </row>
    <row r="25" spans="1:8" ht="13.5" customHeight="1">
      <c r="A25" s="8" t="s">
        <v>35</v>
      </c>
      <c r="B25" s="8" t="s">
        <v>10</v>
      </c>
      <c r="C25" s="25">
        <v>94837855</v>
      </c>
      <c r="D25" s="25">
        <v>3446944</v>
      </c>
      <c r="E25" s="24">
        <f t="shared" si="0"/>
        <v>91390911</v>
      </c>
      <c r="F25" s="9"/>
      <c r="G25" s="9"/>
      <c r="H25" s="9"/>
    </row>
    <row r="26" spans="1:8" ht="13.5" customHeight="1">
      <c r="A26" s="8" t="s">
        <v>36</v>
      </c>
      <c r="B26" s="8" t="s">
        <v>7</v>
      </c>
      <c r="C26" s="25">
        <v>53216522</v>
      </c>
      <c r="D26" s="25">
        <v>13077166</v>
      </c>
      <c r="E26" s="24">
        <f t="shared" si="0"/>
        <v>40139356</v>
      </c>
      <c r="F26" s="9"/>
      <c r="G26" s="15" t="s">
        <v>43</v>
      </c>
      <c r="H26" s="21">
        <f>SUM(E21:E46)</f>
        <v>361749527</v>
      </c>
    </row>
    <row r="27" spans="1:8" ht="13.5" customHeight="1">
      <c r="A27" s="8" t="s">
        <v>37</v>
      </c>
      <c r="B27" s="8" t="s">
        <v>10</v>
      </c>
      <c r="C27" s="25">
        <v>37129012</v>
      </c>
      <c r="D27" s="25">
        <v>19122005</v>
      </c>
      <c r="E27" s="24">
        <f t="shared" si="0"/>
        <v>18007007</v>
      </c>
      <c r="F27" s="9"/>
      <c r="G27" s="14" t="s">
        <v>44</v>
      </c>
      <c r="H27" s="22">
        <f>SUMIF(B16:B41, "직영", E16:E41)</f>
        <v>373756362</v>
      </c>
    </row>
    <row r="28" spans="1:8" ht="13.5" customHeight="1">
      <c r="A28" s="8" t="s">
        <v>38</v>
      </c>
      <c r="B28" s="8" t="s">
        <v>10</v>
      </c>
      <c r="C28" s="25">
        <v>21832407</v>
      </c>
      <c r="D28" s="25">
        <v>33557401</v>
      </c>
      <c r="E28" s="24">
        <f t="shared" si="0"/>
        <v>-11724994</v>
      </c>
      <c r="F28" s="9"/>
      <c r="G28" s="14" t="s">
        <v>45</v>
      </c>
      <c r="H28" s="22">
        <f>SUMIF(B17:B42, "비직영", E17:E42)</f>
        <v>159515879</v>
      </c>
    </row>
    <row r="29" spans="1:8" ht="13.5" customHeight="1">
      <c r="A29" s="8" t="s">
        <v>39</v>
      </c>
      <c r="B29" s="8" t="s">
        <v>7</v>
      </c>
      <c r="C29" s="25">
        <v>63515875</v>
      </c>
      <c r="D29" s="25">
        <v>31318218</v>
      </c>
      <c r="E29" s="24">
        <f t="shared" si="0"/>
        <v>32197657</v>
      </c>
      <c r="F29" s="9"/>
      <c r="G29" s="9"/>
      <c r="H29" s="9"/>
    </row>
    <row r="30" spans="1:8" ht="13.5" customHeight="1">
      <c r="A30" s="8" t="s">
        <v>40</v>
      </c>
      <c r="B30" s="8" t="s">
        <v>7</v>
      </c>
      <c r="C30" s="25">
        <v>79031730</v>
      </c>
      <c r="D30" s="25">
        <v>5230964</v>
      </c>
      <c r="E30" s="24">
        <f t="shared" si="0"/>
        <v>73800766</v>
      </c>
      <c r="F30" s="9"/>
      <c r="G30" s="9"/>
      <c r="H30" s="9"/>
    </row>
    <row r="31" spans="1:8" ht="13.5" customHeight="1">
      <c r="A31" s="8" t="s">
        <v>41</v>
      </c>
      <c r="B31" s="8" t="s">
        <v>10</v>
      </c>
      <c r="C31" s="25">
        <v>81102583</v>
      </c>
      <c r="D31" s="25">
        <v>40331755</v>
      </c>
      <c r="E31" s="24">
        <f t="shared" si="0"/>
        <v>40770828</v>
      </c>
      <c r="F31" s="9"/>
      <c r="G31" s="9"/>
      <c r="H31" s="9"/>
    </row>
  </sheetData>
  <mergeCells count="4">
    <mergeCell ref="G5:H5"/>
    <mergeCell ref="G19:H19"/>
    <mergeCell ref="G13:H13"/>
    <mergeCell ref="D1:F2"/>
  </mergeCells>
  <phoneticPr fontId="3" type="noConversion"/>
  <pageMargins left="0.7" right="0.7" top="0.75" bottom="0.75" header="0.3" footer="0.3"/>
  <pageSetup orientation="portrait" r:id="rId1"/>
  <headerFooter>
    <oddFooter>&amp;C&amp;"Helvetica Neue,Regular"&amp;12&amp;K000000&amp;P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EEFD2EC9AE4E1C4E97A968ACD5F6A537" ma:contentTypeVersion="11" ma:contentTypeDescription="새 문서를 만듭니다." ma:contentTypeScope="" ma:versionID="0052cd9c5b100d9e1b5abbdc5cac24cb">
  <xsd:schema xmlns:xsd="http://www.w3.org/2001/XMLSchema" xmlns:xs="http://www.w3.org/2001/XMLSchema" xmlns:p="http://schemas.microsoft.com/office/2006/metadata/properties" xmlns:ns2="e4e13380-6049-4f59-9391-9958b2774ca2" xmlns:ns3="cb8fcf1b-9571-4d20-a8ff-81bee2907a75" targetNamespace="http://schemas.microsoft.com/office/2006/metadata/properties" ma:root="true" ma:fieldsID="bc354dff9c47495eca12804ddc9d3bbc" ns2:_="" ns3:_="">
    <xsd:import namespace="e4e13380-6049-4f59-9391-9958b2774ca2"/>
    <xsd:import namespace="cb8fcf1b-9571-4d20-a8ff-81bee2907a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e13380-6049-4f59-9391-9958b2774c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이미지 태그" ma:readOnly="false" ma:fieldId="{5cf76f15-5ced-4ddc-b409-7134ff3c332f}" ma:taxonomyMulti="true" ma:sspId="f1fa32a7-7a11-4d23-adca-71b1597c76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fcf1b-9571-4d20-a8ff-81bee2907a7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9eb03bc-d133-4271-b95c-0fff905dc160}" ma:internalName="TaxCatchAll" ma:showField="CatchAllData" ma:web="cb8fcf1b-9571-4d20-a8ff-81bee2907a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4e13380-6049-4f59-9391-9958b2774ca2">
      <Terms xmlns="http://schemas.microsoft.com/office/infopath/2007/PartnerControls"/>
    </lcf76f155ced4ddcb4097134ff3c332f>
    <TaxCatchAll xmlns="cb8fcf1b-9571-4d20-a8ff-81bee2907a75" xsi:nil="true"/>
  </documentManagement>
</p:properties>
</file>

<file path=customXml/itemProps1.xml><?xml version="1.0" encoding="utf-8"?>
<ds:datastoreItem xmlns:ds="http://schemas.openxmlformats.org/officeDocument/2006/customXml" ds:itemID="{DCB00527-63CB-4B34-BE0E-651B10A765A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9157886-C22F-43D3-9085-85DAAC349E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e13380-6049-4f59-9391-9958b2774ca2"/>
    <ds:schemaRef ds:uri="cb8fcf1b-9571-4d20-a8ff-81bee2907a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D3FFD07-3A11-4F2D-BF80-C4F2846559C4}">
  <ds:schemaRefs>
    <ds:schemaRef ds:uri="http://schemas.microsoft.com/office/2006/metadata/properties"/>
    <ds:schemaRef ds:uri="http://schemas.microsoft.com/office/infopath/2007/PartnerControls"/>
    <ds:schemaRef ds:uri="e4e13380-6049-4f59-9391-9958b2774ca2"/>
    <ds:schemaRef ds:uri="cb8fcf1b-9571-4d20-a8ff-81bee2907a7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최동혁</cp:lastModifiedBy>
  <dcterms:created xsi:type="dcterms:W3CDTF">2024-03-12T07:56:55Z</dcterms:created>
  <dcterms:modified xsi:type="dcterms:W3CDTF">2025-04-21T03:03:34Z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0x010100EEFD2EC9AE4E1C4E97A968ACD5F6A537</vt:lpwstr>
  </property>
</Properties>
</file>